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7e4162fcc03966b/Estudos/DIO dados/"/>
    </mc:Choice>
  </mc:AlternateContent>
  <xr:revisionPtr revIDLastSave="0" documentId="8_{692B2706-3CC1-4C64-9C9E-C7B9564F82E3}" xr6:coauthVersionLast="47" xr6:coauthVersionMax="47" xr10:uidLastSave="{00000000-0000-0000-0000-000000000000}"/>
  <bookViews>
    <workbookView xWindow="-12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ashboard" sheetId="5" r:id="rId4"/>
  </sheets>
  <definedNames>
    <definedName name="SegmentaçãodeDados_Subscription_Type">#N/A</definedName>
  </definedNames>
  <calcPr calcId="191029"/>
  <pivotCaches>
    <pivotCache cacheId="17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" i="3" l="1"/>
  <c r="G9" i="3"/>
</calcChain>
</file>

<file path=xl/sharedStrings.xml><?xml version="1.0" encoding="utf-8"?>
<sst xmlns="http://schemas.openxmlformats.org/spreadsheetml/2006/main" count="2018" uniqueCount="320">
  <si>
    <t>Paleta de Cores</t>
  </si>
  <si>
    <t>Logos</t>
  </si>
  <si>
    <t># 9BC848</t>
  </si>
  <si>
    <t># 22C55E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</si>
  <si>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</si>
  <si>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</si>
  <si>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</si>
  <si>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</si>
  <si>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</si>
  <si>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</si>
  <si>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</si>
  <si>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</si>
  <si>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</si>
  <si>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</si>
  <si>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</si>
  <si>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</si>
  <si>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</si>
  <si>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</si>
  <si>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</si>
  <si>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</si>
  <si>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</si>
  <si>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</si>
  <si>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</si>
  <si>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</si>
  <si>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</si>
  <si>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</si>
  <si>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</si>
  <si>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</si>
  <si>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</si>
  <si>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</si>
  <si>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</si>
  <si>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</si>
  <si>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</si>
  <si>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</si>
  <si>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</si>
  <si>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</si>
  <si>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</si>
  <si>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</si>
  <si>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</si>
  <si>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</si>
  <si>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</si>
  <si>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</si>
  <si>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</si>
  <si>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</si>
  <si>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</si>
  <si>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</si>
  <si>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</si>
  <si>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</si>
  <si>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</si>
  <si>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</si>
  <si>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</si>
  <si>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</si>
  <si>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</si>
  <si>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</si>
  <si>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</si>
  <si>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</si>
  <si>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</si>
  <si>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</si>
  <si>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</si>
  <si>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</si>
  <si>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</si>
  <si>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</si>
  <si>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</si>
  <si>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</si>
  <si>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</si>
  <si>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</si>
  <si>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</si>
  <si>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</si>
  <si>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</si>
  <si>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</si>
  <si>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</si>
  <si>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</si>
  <si>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</si>
  <si>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</si>
  <si>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</si>
  <si>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</si>
  <si>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</si>
  <si>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</si>
  <si>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</si>
  <si>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</si>
  <si>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</si>
  <si>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</si>
  <si>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</si>
  <si>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</si>
  <si>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</si>
  <si>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</si>
  <si>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</si>
  <si>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</si>
  <si>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</si>
  <si>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</si>
  <si>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</si>
  <si>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</si>
  <si>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</si>
  <si>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</si>
  <si>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</si>
  <si>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</si>
  <si>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</si>
  <si>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</si>
  <si>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</si>
  <si>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</si>
  <si>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</si>
  <si>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</si>
  <si>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</si>
  <si>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</si>
  <si>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</si>
  <si>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</si>
  <si>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</si>
  <si>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</si>
  <si>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</si>
  <si>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</si>
  <si>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</si>
  <si>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</si>
  <si>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</si>
  <si>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</si>
  <si>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</si>
  <si>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</si>
  <si>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</si>
  <si>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</si>
  <si>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</si>
  <si>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</si>
  <si>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</si>
  <si>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</si>
  <si>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</si>
  <si>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</si>
  <si>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</si>
  <si>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</si>
  <si>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</si>
  <si>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</si>
  <si>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</si>
  <si>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</si>
  <si>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</si>
  <si>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</si>
  <si>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</si>
  <si>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</si>
  <si>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</si>
  <si>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</si>
  <si>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</si>
  <si>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</si>
  <si>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</si>
  <si>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</si>
  <si>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</si>
  <si>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</si>
  <si>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</si>
  <si>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</si>
  <si>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</si>
  <si>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</si>
  <si>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</si>
  <si>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</si>
  <si>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</si>
  <si>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</si>
  <si>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</si>
  <si>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</si>
  <si>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</si>
  <si>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</si>
  <si>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</si>
  <si>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</si>
  <si>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</si>
  <si>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</si>
  <si>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</si>
  <si>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</si>
  <si>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</si>
  <si>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</si>
  <si>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</si>
  <si>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</si>
  <si>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</si>
  <si>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</si>
  <si>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</si>
  <si>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</si>
  <si>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</si>
  <si>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</si>
  <si>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</si>
  <si>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</si>
  <si>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</si>
  <si>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</si>
  <si>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</si>
  <si>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</si>
  <si>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</si>
  <si>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</si>
  <si>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</si>
  <si>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</si>
  <si>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</si>
  <si>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</si>
  <si>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</si>
  <si>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</si>
  <si>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</si>
  <si>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</si>
  <si>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</si>
  <si>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</si>
  <si>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</si>
  <si>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</si>
  <si>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</si>
  <si>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</si>
  <si>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</si>
  <si>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</si>
  <si>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</si>
  <si>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</si>
  <si>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</si>
  <si>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</si>
  <si>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</si>
  <si>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</si>
  <si>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</si>
  <si>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</si>
  <si>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</si>
  <si>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</si>
  <si>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</si>
  <si>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</si>
  <si>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</si>
  <si>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</si>
  <si>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</si>
  <si>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</si>
  <si>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</si>
  <si>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</si>
  <si>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</si>
  <si>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</si>
  <si>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</si>
  <si>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</si>
  <si>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</si>
  <si>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</si>
  <si>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</si>
  <si>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</si>
  <si>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</si>
  <si>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</si>
  <si>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</si>
  <si>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</si>
  <si>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</si>
  <si>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</si>
  <si>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</si>
  <si>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</si>
  <si>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</si>
  <si>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</si>
  <si>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</si>
  <si>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</si>
  <si>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</si>
  <si>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</si>
  <si>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</si>
  <si>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</si>
  <si>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</si>
  <si>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</si>
  <si>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</si>
  <si>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</si>
  <si>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</si>
  <si>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</si>
  <si>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</si>
  <si>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</si>
  <si>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</si>
  <si>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</si>
  <si>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</si>
  <si>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</si>
  <si>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</si>
  <si>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</si>
  <si>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</si>
  <si>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</si>
  <si>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</si>
  <si>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</si>
  <si>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</si>
  <si>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</si>
  <si>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</si>
  <si>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</si>
  <si>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</si>
  <si>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</si>
  <si>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</si>
  <si>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</si>
  <si>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</si>
  <si>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</si>
  <si>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</si>
  <si>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</si>
  <si>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</si>
  <si>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</si>
  <si>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</si>
  <si>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</si>
  <si>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</si>
  <si>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</si>
  <si>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</si>
  <si>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</si>
  <si>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</si>
  <si>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</si>
  <si>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</si>
  <si>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</si>
  <si>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</si>
  <si>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</si>
  <si>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</si>
  <si>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</si>
  <si>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</si>
  <si>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</si>
  <si>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</si>
  <si>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</si>
  <si>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</si>
  <si>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</si>
  <si>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</si>
  <si>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</si>
  <si>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</si>
  <si>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</si>
  <si>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</si>
  <si>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</si>
  <si>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</si>
  <si>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</si>
  <si>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</si>
  <si>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</si>
  <si>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</si>
  <si>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</si>
  <si>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</si>
  <si>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</si>
  <si>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</si>
  <si>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</si>
  <si>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</si>
  <si>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</si>
  <si>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</si>
  <si>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</si>
  <si>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</si>
  <si>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</si>
  <si>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</si>
  <si>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</si>
  <si>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</si>
  <si>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</si>
  <si>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</si>
  <si>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#E8E6E9</t>
  </si>
  <si>
    <t>XBOX GAME PASS SUBSCRIPTIONS SALES</t>
  </si>
  <si>
    <t>Soma de EA Play Season Pass</t>
  </si>
  <si>
    <t xml:space="preserve"> 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</si>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</sst>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4" borderId="1" xfId="1" applyFill="1" applyAlignment="1">
      <alignment vertical="center"/>
    </xf>
    <xf numFmtId="0" fontId="1" fillId="4" borderId="1" xfId="1" applyFill="1"/>
    <xf numFmtId="165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273D162-ED6A-4F59-9FC2-52A4068031F0}">
      <tableStyleElement type="wholeTable" dxfId="1"/>
      <tableStyleElement type="headerRow" dxfId="0"/>
    </tableStyle>
  </tableStyles>
  <colors>
    <mruColors>
      <color rgb="FF22C55E"/>
      <color rgb="FFE8E6E9"/>
      <color rgb="FF5BF6A8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[Dashboard.xlsx]C̳álculos!Tabela dinâmica4</c:name>
    <c:fmtId val="4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8057223045139"/>
          <c:y val="0.42406116247917142"/>
          <c:w val="0.71618539019256255"/>
          <c:h val="0.33816403654937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C̳álculos!$B$4:$B$6</c:f>
              <c:numCache>
                <c:formatCode>General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6-418C-AAA8-C36352129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4681439"/>
        <c:axId val="964681855"/>
      </c:barChart>
      <c:catAx>
        <c:axId val="96468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4681855"/>
        <c:crosses val="autoZero"/>
        <c:auto val="1"/>
        <c:lblAlgn val="ctr"/>
        <c:lblOffset val="100"/>
        <c:noMultiLvlLbl val="0"/>
      </c:catAx>
      <c:valAx>
        <c:axId val="9646818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6468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295275</xdr:colOff>
      <xdr:row>1</xdr:row>
      <xdr:rowOff>184583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AA9ED1-4918-41E1-85A1-780ABDCF6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19375" cy="9745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</xdr:row>
      <xdr:rowOff>117103</xdr:rowOff>
    </xdr:from>
    <xdr:to>
      <xdr:col>15</xdr:col>
      <xdr:colOff>311727</xdr:colOff>
      <xdr:row>10</xdr:row>
      <xdr:rowOff>155864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442A940D-21A1-4C4C-B465-314D70A090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913739"/>
              <a:ext cx="11464636" cy="16147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512412</xdr:colOff>
      <xdr:row>11</xdr:row>
      <xdr:rowOff>69272</xdr:rowOff>
    </xdr:from>
    <xdr:to>
      <xdr:col>15</xdr:col>
      <xdr:colOff>311727</xdr:colOff>
      <xdr:row>22</xdr:row>
      <xdr:rowOff>155863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92F8CD65-D8A9-4B02-8B3E-324F04469CB8}"/>
            </a:ext>
          </a:extLst>
        </xdr:cNvPr>
        <xdr:cNvGrpSpPr/>
      </xdr:nvGrpSpPr>
      <xdr:grpSpPr>
        <a:xfrm>
          <a:off x="6314003" y="2615045"/>
          <a:ext cx="5341133" cy="1991591"/>
          <a:chOff x="6465794" y="963705"/>
          <a:chExt cx="4291853" cy="1692089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677AC0C8-7531-45F1-B46E-FCD9EA65B310}"/>
              </a:ext>
            </a:extLst>
          </xdr:cNvPr>
          <xdr:cNvSpPr/>
        </xdr:nvSpPr>
        <xdr:spPr>
          <a:xfrm>
            <a:off x="6465795" y="963705"/>
            <a:ext cx="4291852" cy="1692089"/>
          </a:xfrm>
          <a:prstGeom prst="roundRect">
            <a:avLst>
              <a:gd name="adj" fmla="val 739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G9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1F74CC43-8131-4AA0-BCDE-543085E36552}"/>
              </a:ext>
            </a:extLst>
          </xdr:cNvPr>
          <xdr:cNvSpPr/>
        </xdr:nvSpPr>
        <xdr:spPr>
          <a:xfrm>
            <a:off x="7652859" y="1308336"/>
            <a:ext cx="3084314" cy="120453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F3C7857-3835-4552-8FB1-34A7D4515C5D}" type="TxLink">
              <a:rPr lang="en-US" sz="3600" b="0" i="0" u="none" strike="noStrike">
                <a:solidFill>
                  <a:srgbClr val="000000"/>
                </a:solidFill>
                <a:latin typeface="Aptos Narrow"/>
              </a:rPr>
              <a:pPr algn="ctr"/>
              <a:t>R$ 990,00</a:t>
            </a:fld>
            <a:endParaRPr lang="pt-BR" sz="3600">
              <a:solidFill>
                <a:schemeClr val="accent6"/>
              </a:solidFill>
            </a:endParaRPr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C285838F-8BC3-4A7D-A280-5F83424599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66647" y="1411944"/>
            <a:ext cx="1186897" cy="997323"/>
          </a:xfrm>
          <a:prstGeom prst="rect">
            <a:avLst/>
          </a:prstGeom>
        </xdr:spPr>
      </xdr:pic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66AB66EF-C99C-4731-8077-0756AEFDF4D8}"/>
              </a:ext>
            </a:extLst>
          </xdr:cNvPr>
          <xdr:cNvSpPr/>
        </xdr:nvSpPr>
        <xdr:spPr>
          <a:xfrm>
            <a:off x="6465794" y="963706"/>
            <a:ext cx="4291853" cy="41461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Arial Black" panose="020B0A04020102020204" pitchFamily="34" charset="0"/>
              </a:rPr>
              <a:t>TOTAL SUBSCRIPTIONS</a:t>
            </a:r>
            <a:r>
              <a:rPr lang="pt-BR" sz="1100" baseline="0">
                <a:latin typeface="Arial Black" panose="020B0A04020102020204" pitchFamily="34" charset="0"/>
              </a:rPr>
              <a:t> EA PLAY SEASON PASS</a:t>
            </a:r>
            <a:endParaRPr lang="pt-BR" sz="1100">
              <a:latin typeface="Arial Black" panose="020B0A04020102020204" pitchFamily="34" charset="0"/>
            </a:endParaRPr>
          </a:p>
        </xdr:txBody>
      </xdr:sp>
    </xdr:grpSp>
    <xdr:clientData/>
  </xdr:twoCellAnchor>
  <xdr:twoCellAnchor editAs="absolute">
    <xdr:from>
      <xdr:col>7</xdr:col>
      <xdr:colOff>467590</xdr:colOff>
      <xdr:row>23</xdr:row>
      <xdr:rowOff>103908</xdr:rowOff>
    </xdr:from>
    <xdr:to>
      <xdr:col>15</xdr:col>
      <xdr:colOff>346364</xdr:colOff>
      <xdr:row>34</xdr:row>
      <xdr:rowOff>155863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EAABACC2-606B-423C-91A7-5BE14B9DB07E}"/>
            </a:ext>
          </a:extLst>
        </xdr:cNvPr>
        <xdr:cNvGrpSpPr/>
      </xdr:nvGrpSpPr>
      <xdr:grpSpPr>
        <a:xfrm>
          <a:off x="6269181" y="4727863"/>
          <a:ext cx="5420592" cy="1956955"/>
          <a:chOff x="6286500" y="3273136"/>
          <a:chExt cx="4346864" cy="1926393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75D1252B-7919-4979-BBC4-A89BF49FDDFD}"/>
              </a:ext>
            </a:extLst>
          </xdr:cNvPr>
          <xdr:cNvGrpSpPr/>
        </xdr:nvGrpSpPr>
        <xdr:grpSpPr>
          <a:xfrm>
            <a:off x="6286500" y="3273136"/>
            <a:ext cx="4346864" cy="1926393"/>
            <a:chOff x="6465794" y="963705"/>
            <a:chExt cx="4291853" cy="1692089"/>
          </a:xfrm>
        </xdr:grpSpPr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ECE8053F-9953-475C-8267-44D78077FDCC}"/>
                </a:ext>
              </a:extLst>
            </xdr:cNvPr>
            <xdr:cNvSpPr/>
          </xdr:nvSpPr>
          <xdr:spPr>
            <a:xfrm>
              <a:off x="6465795" y="963705"/>
              <a:ext cx="4291852" cy="1692089"/>
            </a:xfrm>
            <a:prstGeom prst="roundRect">
              <a:avLst>
                <a:gd name="adj" fmla="val 739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19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BC5529A6-58F0-46BB-9AB7-38E17C7C972D}"/>
                </a:ext>
              </a:extLst>
            </xdr:cNvPr>
            <xdr:cNvSpPr/>
          </xdr:nvSpPr>
          <xdr:spPr>
            <a:xfrm>
              <a:off x="7652859" y="1308336"/>
              <a:ext cx="3084314" cy="120453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5134A17C-9EC1-4365-9730-B5DDDCA390E0}" type="TxLink">
                <a:rPr lang="en-US" sz="3200" b="0" i="0" u="none" strike="noStrike">
                  <a:solidFill>
                    <a:srgbClr val="000000"/>
                  </a:solidFill>
                  <a:latin typeface="Aptos Narrow"/>
                </a:rPr>
                <a:t>R$ 1.140,00</a:t>
              </a:fld>
              <a:endParaRPr lang="pt-BR" sz="8000">
                <a:solidFill>
                  <a:schemeClr val="accent6"/>
                </a:solidFill>
              </a:endParaRPr>
            </a:p>
          </xdr:txBody>
        </xdr:sp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A171710B-A97A-4D0F-BF85-1BA80A5E2131}"/>
                </a:ext>
              </a:extLst>
            </xdr:cNvPr>
            <xdr:cNvSpPr/>
          </xdr:nvSpPr>
          <xdr:spPr>
            <a:xfrm>
              <a:off x="6465794" y="963706"/>
              <a:ext cx="4291853" cy="414618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latin typeface="Arial Black" panose="020B0A04020102020204" pitchFamily="34" charset="0"/>
                </a:rPr>
                <a:t>TOTAL SUBSCRIPTIONS</a:t>
              </a:r>
              <a:r>
                <a:rPr lang="pt-BR" sz="1100" baseline="0">
                  <a:latin typeface="Arial Black" panose="020B0A04020102020204" pitchFamily="34" charset="0"/>
                </a:rPr>
                <a:t> MINECRAFT SEASON PASS</a:t>
              </a:r>
              <a:endParaRPr lang="pt-BR" sz="1100">
                <a:latin typeface="Arial Black" panose="020B0A04020102020204" pitchFamily="34" charset="0"/>
              </a:endParaRPr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C76EDB14-AFBD-42AD-BAF8-FCABF797C88D}"/>
              </a:ext>
            </a:extLst>
          </xdr:cNvPr>
          <xdr:cNvGrpSpPr/>
        </xdr:nvGrpSpPr>
        <xdr:grpSpPr>
          <a:xfrm>
            <a:off x="6373092" y="3965862"/>
            <a:ext cx="1541318" cy="762001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55FEC681-3A3A-431D-9B00-1B33F31D19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0209AEC2-27A3-4068-A608-C3ED9E551A0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254680</xdr:colOff>
      <xdr:row>11</xdr:row>
      <xdr:rowOff>169106</xdr:rowOff>
    </xdr:from>
    <xdr:to>
      <xdr:col>7</xdr:col>
      <xdr:colOff>588818</xdr:colOff>
      <xdr:row>34</xdr:row>
      <xdr:rowOff>103909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BFC8C2F5-8D90-49DD-8A33-6367F01410E7}"/>
            </a:ext>
          </a:extLst>
        </xdr:cNvPr>
        <xdr:cNvGrpSpPr/>
      </xdr:nvGrpSpPr>
      <xdr:grpSpPr>
        <a:xfrm>
          <a:off x="254680" y="2714879"/>
          <a:ext cx="6135729" cy="3917985"/>
          <a:chOff x="254680" y="2714879"/>
          <a:chExt cx="6135729" cy="4108485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87C26518-461A-4434-9704-CF0F0E095773}"/>
              </a:ext>
            </a:extLst>
          </xdr:cNvPr>
          <xdr:cNvGrpSpPr/>
        </xdr:nvGrpSpPr>
        <xdr:grpSpPr>
          <a:xfrm>
            <a:off x="254680" y="2714879"/>
            <a:ext cx="6135729" cy="4108485"/>
            <a:chOff x="134472" y="2342029"/>
            <a:chExt cx="4112556" cy="2655795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22ECF579-23B6-4C44-A211-79B6F39A92CB}"/>
                </a:ext>
              </a:extLst>
            </xdr:cNvPr>
            <xdr:cNvSpPr/>
          </xdr:nvSpPr>
          <xdr:spPr>
            <a:xfrm>
              <a:off x="134472" y="2342029"/>
              <a:ext cx="3978088" cy="2655795"/>
            </a:xfrm>
            <a:prstGeom prst="roundRect">
              <a:avLst>
                <a:gd name="adj" fmla="val 1202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5E167FF8-33FC-4756-9452-3DF0EF4717EC}"/>
                </a:ext>
              </a:extLst>
            </xdr:cNvPr>
            <xdr:cNvGraphicFramePr>
              <a:graphicFrameLocks/>
            </xdr:cNvGraphicFramePr>
          </xdr:nvGraphicFramePr>
          <xdr:xfrm>
            <a:off x="291351" y="2420472"/>
            <a:ext cx="3955677" cy="22955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F6855261-8DE6-4676-AF95-FFADF7D1D6EA}"/>
              </a:ext>
            </a:extLst>
          </xdr:cNvPr>
          <xdr:cNvSpPr/>
        </xdr:nvSpPr>
        <xdr:spPr>
          <a:xfrm>
            <a:off x="329046" y="2718954"/>
            <a:ext cx="5836228" cy="692727"/>
          </a:xfrm>
          <a:prstGeom prst="round2SameRect">
            <a:avLst>
              <a:gd name="adj1" fmla="val 49167"/>
              <a:gd name="adj2" fmla="val 0"/>
            </a:avLst>
          </a:prstGeom>
          <a:solidFill>
            <a:srgbClr val="22C55E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TOTAL</a:t>
            </a:r>
            <a:r>
              <a:rPr lang="pt-BR" sz="1800" baseline="0"/>
              <a:t> SUBSCRIPTIONS XOX GAME PASS</a:t>
            </a:r>
            <a:endParaRPr lang="pt-BR" sz="18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zo Zappa" refreshedDate="46156.802503240739" createdVersion="7" refreshedVersion="7" minRefreshableVersion="3" recordCount="295" xr:uid="{16D620E7-3DF8-4EB5-A113-A0040431BB8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065543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6C19F-7BC4-49F7-8A0C-CEDD8A87485F}" name="Tabela dinâmica9" cacheId="17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15:C19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0B857-33E2-443B-BA6D-62E9CE8D3D47}" name="Tabela dinâmica8" cacheId="17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D5:E9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0B25F-0364-4206-BA89-F97909FD6AF9}" name="Tabela dinâmica4" cacheId="17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A3:B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5E80EDA-672E-45B5-9EEE-897D9972D171}" sourceName="Subscription Type">
  <pivotTables>
    <pivotTable tabId="3" name="Tabela dinâmica4"/>
    <pivotTable tabId="3" name="Tabela dinâmica8"/>
    <pivotTable tabId="3" name="Tabela dinâmica9"/>
  </pivotTables>
  <data>
    <tabular pivotCacheId="130655433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9E8584D-3561-48FD-9BCF-826B895370EF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3" zoomScaleNormal="100" workbookViewId="0">
      <selection activeCell="B6" sqref="B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7</v>
      </c>
      <c r="E5" s="7" t="s">
        <v>315</v>
      </c>
      <c r="F5" t="s">
        <v>6</v>
      </c>
    </row>
    <row r="6" spans="2:16">
      <c r="B6" s="4" t="s">
        <v>3</v>
      </c>
      <c r="C6" t="s">
        <v>7</v>
      </c>
    </row>
    <row r="7" spans="2:16">
      <c r="B7" s="5" t="s">
        <v>4</v>
      </c>
      <c r="C7" t="s">
        <v>8</v>
      </c>
    </row>
    <row r="8" spans="2:16">
      <c r="B8" s="6" t="s">
        <v>5</v>
      </c>
      <c r="C8" t="s">
        <v>8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I10" sqref="I10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5.25" customWidth="1"/>
    <col min="9" max="9" width="27.7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G19"/>
  <sheetViews>
    <sheetView showGridLines="0" workbookViewId="0">
      <selection activeCell="D19" sqref="D19"/>
    </sheetView>
  </sheetViews>
  <sheetFormatPr defaultRowHeight="14.25"/>
  <cols>
    <col min="1" max="2" width="18" bestFit="1" customWidth="1"/>
    <col min="3" max="3" width="35.125" bestFit="1" customWidth="1"/>
    <col min="4" max="4" width="18" bestFit="1" customWidth="1"/>
    <col min="5" max="5" width="27.875" bestFit="1" customWidth="1"/>
    <col min="6" max="6" width="19.125" bestFit="1" customWidth="1"/>
    <col min="7" max="7" width="18.875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1" spans="1:7">
      <c r="A1" s="12" t="s">
        <v>15</v>
      </c>
      <c r="B1" t="s">
        <v>26</v>
      </c>
    </row>
    <row r="3" spans="1:7">
      <c r="A3" s="12" t="s">
        <v>312</v>
      </c>
      <c r="B3" t="s">
        <v>314</v>
      </c>
      <c r="D3" s="12" t="s">
        <v>15</v>
      </c>
      <c r="E3" t="s">
        <v>26</v>
      </c>
    </row>
    <row r="4" spans="1:7">
      <c r="A4" s="13" t="s">
        <v>22</v>
      </c>
      <c r="B4" s="14">
        <v>806</v>
      </c>
    </row>
    <row r="5" spans="1:7">
      <c r="A5" s="13" t="s">
        <v>18</v>
      </c>
      <c r="B5" s="14">
        <v>1502</v>
      </c>
      <c r="D5" s="12" t="s">
        <v>312</v>
      </c>
      <c r="E5" t="s">
        <v>317</v>
      </c>
    </row>
    <row r="6" spans="1:7">
      <c r="A6" s="13" t="s">
        <v>313</v>
      </c>
      <c r="B6" s="14">
        <v>2308</v>
      </c>
      <c r="D6" s="13" t="s">
        <v>21</v>
      </c>
      <c r="E6" s="14">
        <v>0</v>
      </c>
    </row>
    <row r="7" spans="1:7">
      <c r="D7" s="13" t="s">
        <v>25</v>
      </c>
      <c r="E7" s="14">
        <v>0</v>
      </c>
    </row>
    <row r="8" spans="1:7">
      <c r="D8" s="13" t="s">
        <v>17</v>
      </c>
      <c r="E8" s="14">
        <v>990</v>
      </c>
    </row>
    <row r="9" spans="1:7">
      <c r="D9" s="13" t="s">
        <v>313</v>
      </c>
      <c r="E9" s="14">
        <v>990</v>
      </c>
      <c r="G9" s="17">
        <f>GETPIVOTDATA("EA Play Season Pass
Price",$D$5)</f>
        <v>990</v>
      </c>
    </row>
    <row r="13" spans="1:7">
      <c r="B13" s="12" t="s">
        <v>15</v>
      </c>
      <c r="C13" t="s">
        <v>26</v>
      </c>
    </row>
    <row r="15" spans="1:7">
      <c r="B15" s="12" t="s">
        <v>312</v>
      </c>
      <c r="C15" t="s">
        <v>319</v>
      </c>
    </row>
    <row r="16" spans="1:7">
      <c r="B16" s="13" t="s">
        <v>21</v>
      </c>
      <c r="C16" s="14">
        <v>0</v>
      </c>
    </row>
    <row r="17" spans="2:4">
      <c r="B17" s="13" t="s">
        <v>25</v>
      </c>
      <c r="C17" s="14">
        <v>480</v>
      </c>
    </row>
    <row r="18" spans="2:4">
      <c r="B18" s="13" t="s">
        <v>17</v>
      </c>
      <c r="C18" s="14">
        <v>660</v>
      </c>
    </row>
    <row r="19" spans="2:4">
      <c r="B19" s="13" t="s">
        <v>313</v>
      </c>
      <c r="C19" s="14">
        <v>1140</v>
      </c>
      <c r="D19" s="17">
        <f>GETPIVOTDATA("Minecraft Season Pass Price",$B$15)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D0AC-60B0-428F-A6FE-BFD71AEE5862}">
  <dimension ref="F1:K103"/>
  <sheetViews>
    <sheetView tabSelected="1" zoomScale="55" zoomScaleNormal="55" workbookViewId="0">
      <selection activeCell="G39" sqref="G39"/>
    </sheetView>
  </sheetViews>
  <sheetFormatPr defaultRowHeight="14.25"/>
  <cols>
    <col min="1" max="1" width="21.5" customWidth="1"/>
  </cols>
  <sheetData>
    <row r="1" spans="6:11" s="16" customFormat="1" ht="63" customHeight="1" thickBot="1">
      <c r="F1" s="15" t="s">
        <v>316</v>
      </c>
    </row>
    <row r="2" spans="6:11" s="7" customFormat="1" ht="15" thickTop="1"/>
    <row r="3" spans="6:11" s="7" customFormat="1"/>
    <row r="4" spans="6:11" s="7" customFormat="1"/>
    <row r="5" spans="6:11" s="7" customFormat="1"/>
    <row r="6" spans="6:11" s="7" customFormat="1"/>
    <row r="7" spans="6:11" s="7" customFormat="1"/>
    <row r="8" spans="6:11" s="7" customFormat="1"/>
    <row r="9" spans="6:11" s="7" customFormat="1"/>
    <row r="10" spans="6:11" s="7" customFormat="1"/>
    <row r="11" spans="6:11" s="7" customFormat="1"/>
    <row r="12" spans="6:11" s="7" customFormat="1"/>
    <row r="13" spans="6:11" s="7" customFormat="1"/>
    <row r="14" spans="6:11" s="7" customFormat="1"/>
    <row r="15" spans="6:11" s="7" customFormat="1">
      <c r="K15" s="7" t="s">
        <v>318</v>
      </c>
    </row>
    <row r="16" spans="6:11" s="7" customFormat="1"/>
    <row r="17" s="7" customFormat="1"/>
    <row r="18" s="7" customFormat="1"/>
    <row r="19" s="7" customFormat="1"/>
    <row r="20" s="7" customFormat="1"/>
    <row r="21" s="7" customFormat="1"/>
    <row r="22" s="7" customFormat="1"/>
    <row r="23" s="7" customFormat="1"/>
    <row r="24" s="7" customFormat="1"/>
    <row r="25" s="7" customFormat="1"/>
    <row r="26" s="7" customFormat="1"/>
    <row r="27" s="7" customFormat="1"/>
    <row r="28" s="7" customFormat="1"/>
    <row r="29" s="7" customFormat="1"/>
    <row r="30" s="7" customFormat="1"/>
    <row r="31" s="7" customFormat="1"/>
    <row r="32" s="7" customFormat="1"/>
    <row r="33" s="7" customFormat="1"/>
    <row r="34" s="7" customFormat="1"/>
    <row r="35" s="7" customFormat="1"/>
    <row r="36" s="7" customFormat="1"/>
    <row r="37" s="7" customFormat="1"/>
    <row r="38" s="7" customFormat="1"/>
    <row r="39" s="7" customFormat="1"/>
    <row r="40" s="7" customFormat="1"/>
    <row r="41" s="7" customFormat="1"/>
    <row r="42" s="7" customFormat="1"/>
    <row r="43" s="7" customFormat="1"/>
    <row r="44" s="7" customFormat="1"/>
    <row r="45" s="7" customFormat="1"/>
    <row r="46" s="7" customFormat="1"/>
    <row r="47" s="7" customFormat="1"/>
    <row r="48" s="7" customFormat="1"/>
    <row r="49" s="7" customFormat="1"/>
    <row r="50" s="7" customFormat="1"/>
    <row r="51" s="7" customFormat="1"/>
    <row r="52" s="7" customFormat="1"/>
    <row r="53" s="7" customFormat="1"/>
    <row r="54" s="7" customFormat="1"/>
    <row r="55" s="7" customFormat="1"/>
    <row r="56" s="7" customFormat="1"/>
    <row r="57" s="7" customFormat="1"/>
    <row r="58" s="7" customFormat="1"/>
    <row r="59" s="7" customFormat="1"/>
    <row r="60" s="7" customFormat="1"/>
    <row r="61" s="7" customFormat="1"/>
    <row r="62" s="7" customFormat="1"/>
    <row r="63" s="7" customFormat="1"/>
    <row r="64" s="7" customFormat="1"/>
    <row r="65" s="7" customFormat="1"/>
    <row r="66" s="7" customFormat="1"/>
    <row r="67" s="7" customFormat="1"/>
    <row r="68" s="7" customFormat="1"/>
    <row r="69" s="7" customFormat="1"/>
    <row r="70" s="7" customFormat="1"/>
    <row r="71" s="7" customFormat="1"/>
    <row r="72" s="7" customFormat="1"/>
    <row r="73" s="7" customFormat="1"/>
    <row r="74" s="7" customFormat="1"/>
    <row r="75" s="7" customFormat="1"/>
    <row r="76" s="7" customFormat="1"/>
    <row r="77" s="7" customFormat="1"/>
    <row r="78" s="7" customFormat="1"/>
    <row r="79" s="7" customFormat="1"/>
    <row r="80" s="7" customFormat="1"/>
    <row r="81" s="7" customFormat="1"/>
    <row r="82" s="7" customFormat="1"/>
    <row r="83" s="7" customFormat="1"/>
    <row r="84" s="7" customFormat="1"/>
    <row r="85" s="7" customFormat="1"/>
    <row r="86" s="7" customFormat="1"/>
    <row r="87" s="7" customFormat="1"/>
    <row r="88" s="7" customFormat="1"/>
    <row r="89" s="7" customFormat="1"/>
    <row r="90" s="7" customFormat="1"/>
    <row r="91" s="7" customFormat="1"/>
    <row r="92" s="7" customFormat="1"/>
    <row r="93" s="7" customFormat="1"/>
    <row r="94" s="7" customFormat="1"/>
    <row r="95" s="7" customFormat="1"/>
    <row r="96" s="7" customFormat="1"/>
    <row r="97" s="7" customFormat="1"/>
    <row r="98" s="7" customFormat="1"/>
    <row r="99" s="7" customFormat="1"/>
    <row r="100" s="7" customFormat="1"/>
    <row r="101" s="7" customFormat="1"/>
    <row r="102" s="7" customFormat="1"/>
    <row r="103" s="7" customFormat="1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Enzo Zappa</cp:lastModifiedBy>
  <dcterms:created xsi:type="dcterms:W3CDTF">2024-12-19T13:13:10Z</dcterms:created>
  <dcterms:modified xsi:type="dcterms:W3CDTF">2026-05-14T23:52:36Z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